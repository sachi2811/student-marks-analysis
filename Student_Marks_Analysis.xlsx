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2216b3f7f8fdb9/Documents/"/>
    </mc:Choice>
  </mc:AlternateContent>
  <xr:revisionPtr revIDLastSave="0" documentId="14_{9A99B0FB-C29E-4947-9B18-837796ED8F92}" xr6:coauthVersionLast="47" xr6:coauthVersionMax="47" xr10:uidLastSave="{00000000-0000-0000-0000-000000000000}"/>
  <bookViews>
    <workbookView xWindow="-110" yWindow="-110" windowWidth="19420" windowHeight="11500" xr2:uid="{83AB054B-E01C-405E-9F00-4ED5A7DCEFAD}"/>
  </bookViews>
  <sheets>
    <sheet name="Student Marks AnalysisStudent 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E7" i="1"/>
  <c r="F7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<sst xmlns="http://schemas.openxmlformats.org/spreadsheetml/2006/main" count="12" uniqueCount="12">
  <si>
    <t>Student Name</t>
  </si>
  <si>
    <t>Math</t>
  </si>
  <si>
    <t>English</t>
  </si>
  <si>
    <t>Science</t>
  </si>
  <si>
    <t>Total</t>
  </si>
  <si>
    <t>Average</t>
  </si>
  <si>
    <t>Result</t>
  </si>
  <si>
    <t>Aarav</t>
  </si>
  <si>
    <t>Diya</t>
  </si>
  <si>
    <t>Isha</t>
  </si>
  <si>
    <t>Kabir</t>
  </si>
  <si>
    <t>Meera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</si>
</sst>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78140-4EAB-42DB-ADA6-72B2B8F35E27}" name="Table1" displayName="Table1" ref="A1:G6" totalsRowShown="0" headerRowDxfId="0" dataDxfId="1">
  <autoFilter ref="A1:G6" xr:uid="{DFD78140-4EAB-42DB-ADA6-72B2B8F35E27}"/>
  <tableColumns count="7">
    <tableColumn id="1" xr3:uid="{8F56A440-825C-460E-B699-DFAFF6AA12B9}" name="Student Name"/>
    <tableColumn id="2" xr3:uid="{85641036-7D7A-4EFC-A405-9B8AF0158445}" name="Math"/>
    <tableColumn id="3" xr3:uid="{FC61C922-21C6-4B02-9FC1-E032723C05D2}" name="English"/>
    <tableColumn id="4" xr3:uid="{E9661A6D-137A-49A7-8426-588C6E87A315}" name="Science"/>
    <tableColumn id="5" xr3:uid="{4BF5584B-AAD0-4776-A07F-2444BC8C2937}" name="Total" dataDxfId="4">
      <calculatedColumnFormula>SUM(B2:D2)</calculatedColumnFormula>
    </tableColumn>
    <tableColumn id="6" xr3:uid="{A72D259A-17B2-4BC2-9298-563D640D7154}" name="Average" dataDxfId="3">
      <calculatedColumnFormula>AVERAGE(B2:D2)</calculatedColumnFormula>
    </tableColumn>
    <tableColumn id="7" xr3:uid="{6862E412-4102-4726-81B3-DA96B9F97831}" name="Result" dataDxfId="2">
      <calculatedColumnFormula>IF(F2&gt;=40,"Pass","Fail")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5017-5B9B-4A48-A587-BF0568D63895}">
  <dimension ref="A1:G8"/>
  <sheetViews>
    <sheetView tabSelected="1" workbookViewId="0">
      <selection activeCell="B10" sqref="B10"/>
    </sheetView>
  </sheetViews>
  <sheetFormatPr defaultRowHeight="14.5"/>
  <cols>
    <col min="1" max="1" width="14.90625" customWidth="1"/>
    <col min="2" max="2" width="7.08984375" customWidth="1"/>
    <col min="3" max="3" width="9.1796875" customWidth="1"/>
    <col min="4" max="4" width="9.54296875" customWidth="1"/>
    <col min="5" max="5" width="7.1796875" customWidth="1"/>
    <col min="6" max="6" width="9.81640625" customWidth="1"/>
    <col min="7" max="7" width="8.2695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55</v>
      </c>
      <c r="C2">
        <v>65</v>
      </c>
      <c r="D2">
        <v>45</v>
      </c>
      <c r="E2" s="2">
        <f>SUM(B2:D2)</f>
        <v>165</v>
      </c>
      <c r="F2" s="2">
        <f>AVERAGE(B2:D2)</f>
        <v>55</v>
      </c>
      <c r="G2" s="2" t="str">
        <f>IF(F2&gt;=40,"Pass","Fail")</f>
        <v>Pass</v>
      </c>
    </row>
    <row r="3" spans="1:7">
      <c r="A3" t="s">
        <v>8</v>
      </c>
      <c r="B3">
        <v>70</v>
      </c>
      <c r="C3">
        <v>75</v>
      </c>
      <c r="D3">
        <v>80</v>
      </c>
      <c r="E3" s="2">
        <f t="shared" ref="E3:E6" si="0">SUM(B3:D3)</f>
        <v>225</v>
      </c>
      <c r="F3" s="2">
        <f t="shared" ref="F3:F6" si="1">AVERAGE(B3:D3)</f>
        <v>75</v>
      </c>
      <c r="G3" s="2" t="str">
        <f t="shared" ref="G3:G6" si="2">IF(F3&gt;=40,"Pass","Fail")</f>
        <v>Pass</v>
      </c>
    </row>
    <row r="4" spans="1:7">
      <c r="A4" t="s">
        <v>9</v>
      </c>
      <c r="B4">
        <v>80</v>
      </c>
      <c r="C4">
        <v>85</v>
      </c>
      <c r="D4">
        <v>65</v>
      </c>
      <c r="E4" s="2">
        <f t="shared" si="0"/>
        <v>230</v>
      </c>
      <c r="F4" s="2">
        <f t="shared" si="1"/>
        <v>76.666666666666671</v>
      </c>
      <c r="G4" s="2" t="str">
        <f t="shared" si="2"/>
        <v>Pass</v>
      </c>
    </row>
    <row r="5" spans="1:7">
      <c r="A5" t="s">
        <v>10</v>
      </c>
      <c r="B5">
        <v>70</v>
      </c>
      <c r="C5">
        <v>75</v>
      </c>
      <c r="D5">
        <v>70</v>
      </c>
      <c r="E5" s="2">
        <f t="shared" si="0"/>
        <v>215</v>
      </c>
      <c r="F5" s="2">
        <f t="shared" si="1"/>
        <v>71.666666666666671</v>
      </c>
      <c r="G5" s="2" t="str">
        <f t="shared" si="2"/>
        <v>Pass</v>
      </c>
    </row>
    <row r="6" spans="1:7">
      <c r="A6" t="s">
        <v>11</v>
      </c>
      <c r="B6">
        <v>65</v>
      </c>
      <c r="C6">
        <v>60</v>
      </c>
      <c r="D6">
        <v>70</v>
      </c>
      <c r="E6" s="2">
        <f t="shared" si="0"/>
        <v>195</v>
      </c>
      <c r="F6" s="2">
        <f t="shared" si="1"/>
        <v>65</v>
      </c>
      <c r="G6" s="2" t="str">
        <f t="shared" si="2"/>
        <v>Pass</v>
      </c>
    </row>
    <row r="7" spans="1:7">
      <c r="E7">
        <f>MAX(E2:E6)</f>
        <v>230</v>
      </c>
      <c r="F7" s="2">
        <f>AVERAGE(F2:F6)</f>
        <v>68.666666666666671</v>
      </c>
    </row>
    <row r="8" spans="1:7">
      <c r="E8" s="2">
        <f>MIN(E2:E6)</f>
        <v>165</v>
      </c>
      <c r="F8" s="2">
        <f>COUNT(E2:E6)</f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 AnalysisStudent 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sp400616@gmail.com</dc:creator>
  <cp:lastModifiedBy>sp400616@gmail.com</cp:lastModifiedBy>
  <dcterms:created xsi:type="dcterms:W3CDTF">2026-10-20T17:10:30Z</dcterms:created>
  <dcterms:modified xsi:type="dcterms:W3CDTF">2026-10-20T18:14:18Z</dcterms:modified>
</cp:coreProperties>
</file>